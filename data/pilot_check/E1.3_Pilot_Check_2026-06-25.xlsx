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_Check" sheetId="1" state="visible" r:id="rId1"/>
    <sheet name="score_lookup" sheetId="2" state="visible" r:id="rId2"/>
    <sheet name="Signoff_Text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21" customWidth="1" min="6" max="6"/>
    <col width="53" customWidth="1" min="7" max="7"/>
    <col width="55" customWidth="1" min="8" max="8"/>
    <col width="55" customWidth="1" min="9" max="9"/>
  </cols>
  <sheetData>
    <row r="1">
      <c r="A1" s="1" t="inlineStr">
        <is>
          <t>Mahsooli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Grid key</t>
        </is>
      </c>
      <c r="E1" s="1" t="inlineStr">
        <is>
          <t>Expected V5 score</t>
        </is>
      </c>
      <c r="F1" s="1" t="inlineStr">
        <is>
          <t>Calculated V5 score</t>
        </is>
      </c>
      <c r="G1" s="1" t="inlineStr">
        <is>
          <t>VLOOKUP score</t>
        </is>
      </c>
      <c r="H1" s="1" t="inlineStr">
        <is>
          <t>Check</t>
        </is>
      </c>
      <c r="I1" s="1" t="inlineStr">
        <is>
          <t>Reviewer note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t="n">
        <v>10</v>
      </c>
      <c r="F2" t="n">
        <v>10</v>
      </c>
      <c r="G2">
        <f>IFERROR(VLOOKUP(D2,'score_lookup'!A:B,2,FALSE),"")</f>
        <v/>
      </c>
      <c r="H2">
        <f>IF(D2="","ESCALATE",IF(AND(E2=F2,F2=G2),"OK","MISMATCH"))</f>
        <v/>
      </c>
      <c r="I2" t="inlineStr">
        <is>
          <t>In-AOI; grid cell exact-matched to the CHIRPS lookup; stored score = score recomputed from avg rainfall.</t>
        </is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t="n">
        <v>10</v>
      </c>
      <c r="F3" t="n">
        <v>10</v>
      </c>
      <c r="G3">
        <f>IFERROR(VLOOKUP(D3,'score_lookup'!A:B,2,FALSE),"")</f>
        <v/>
      </c>
      <c r="H3">
        <f>IF(D3="","ESCALATE",IF(AND(E3=F3,F3=G3),"OK","MISMATCH"))</f>
        <v/>
      </c>
      <c r="I3" t="inlineStr">
        <is>
          <t>In-AOI; grid cell exact-matched to the CHIRPS lookup; stored score = score recomputed from avg rainfall.</t>
        </is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t="n">
        <v>10</v>
      </c>
      <c r="F4" t="n">
        <v>10</v>
      </c>
      <c r="G4">
        <f>IFERROR(VLOOKUP(D4,'score_lookup'!A:B,2,FALSE),"")</f>
        <v/>
      </c>
      <c r="H4">
        <f>IF(D4="","ESCALATE",IF(AND(E4=F4,F4=G4),"OK","MISMATCH"))</f>
        <v/>
      </c>
      <c r="I4" t="inlineStr">
        <is>
          <t>In-AOI; grid cell exact-matched to the CHIRPS lookup; stored score = score recomputed from avg rainfall.</t>
        </is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t="n">
        <v>10</v>
      </c>
      <c r="F5" t="n">
        <v>10</v>
      </c>
      <c r="G5">
        <f>IFERROR(VLOOKUP(D5,'score_lookup'!A:B,2,FALSE),"")</f>
        <v/>
      </c>
      <c r="H5">
        <f>IF(D5="","ESCALATE",IF(AND(E5=F5,F5=G5),"OK","MISMATCH"))</f>
        <v/>
      </c>
      <c r="I5" t="inlineStr">
        <is>
          <t>In-AOI; grid cell exact-matched to the CHIRPS lookup; stored score = score recomputed from avg rainfall.</t>
        </is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t="n">
        <v>10</v>
      </c>
      <c r="F6" t="n">
        <v>10</v>
      </c>
      <c r="G6">
        <f>IFERROR(VLOOKUP(D6,'score_lookup'!A:B,2,FALSE),"")</f>
        <v/>
      </c>
      <c r="H6">
        <f>IF(D6="","ESCALATE",IF(AND(E6=F6,F6=G6),"OK","MISMATCH"))</f>
        <v/>
      </c>
      <c r="I6" t="inlineStr">
        <is>
          <t>In-AOI; grid cell exact-matched to the CHIRPS lookup; stored score = score recomputed from avg rainfall.</t>
        </is>
      </c>
    </row>
    <row r="7">
      <c r="A7" t="inlineStr">
        <is>
          <t>F006</t>
        </is>
      </c>
      <c r="B7" s="2" t="n">
        <v>13</v>
      </c>
      <c r="C7" s="2" t="n">
        <v>35</v>
      </c>
      <c r="D7" t="inlineStr"/>
      <c r="E7" t="inlineStr"/>
      <c r="F7" t="inlineStr"/>
      <c r="G7">
        <f>IFERROR(VLOOKUP(D7,'score_lookup'!A:B,2,FALSE),"")</f>
        <v/>
      </c>
      <c r="H7">
        <f>IF(D7="","ESCALATE",IF(AND(E7=F7,F7=G7),"OK","MISMATCH"))</f>
        <v/>
      </c>
      <c r="I7" t="inlineStr">
        <is>
          <t>Outside coverage area - no rainfall score (escalate for manual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t="inlineStr">
        <is>
          <t>E1.3 Pilot Launch Check</t>
        </is>
      </c>
    </row>
    <row r="3">
      <c r="A3" t="inlineStr">
        <is>
          <t>Sign-off statement</t>
        </is>
      </c>
      <c r="B3" t="inlineStr">
        <is>
          <t>I confirm that the V5 rainfall scores calculate correctly for the 5 in-AOI farmers. The following are outside CHIRPS coverage and are escalated for manual review before approval: F006.</t>
        </is>
      </c>
    </row>
    <row r="4">
      <c r="A4" t="inlineStr">
        <is>
          <t>Reviewer name</t>
        </is>
      </c>
      <c r="B4" t="inlineStr"/>
    </row>
    <row r="5">
      <c r="A5" t="inlineStr">
        <is>
          <t>Reviewer role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Status</t>
        </is>
      </c>
      <c r="B7" t="inlineStr">
        <is>
          <t>Ready - 5 scored, 1 escalated for manual review</t>
        </is>
      </c>
    </row>
    <row r="8">
      <c r="A8" t="inlineStr">
        <is>
          <t>Generated date</t>
        </is>
      </c>
      <c r="B8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2026-06-25T17:40:59Z</dcterms:created>
  <dcterms:modified xsi:type="dcterms:W3CDTF">2026-06-25T17:40:59Z</dcterms:modified>
</cp:coreProperties>
</file>