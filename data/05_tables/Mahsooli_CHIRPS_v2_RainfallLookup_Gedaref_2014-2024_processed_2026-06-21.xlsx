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_lookup" sheetId="1" state="visible" r:id="rId1"/>
    <sheet name="farmers_demo" sheetId="2" state="visible" r:id="rId2"/>
    <sheet name="methodology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grid_key</t>
        </is>
      </c>
      <c r="B1" s="1" t="inlineStr">
        <is>
          <t>score_1_10</t>
        </is>
      </c>
    </row>
    <row r="2">
      <c r="A2" t="inlineStr">
        <is>
          <t>13.475_35.975</t>
        </is>
      </c>
      <c r="B2" t="n">
        <v>10</v>
      </c>
    </row>
    <row r="3">
      <c r="A3" t="inlineStr">
        <is>
          <t>13.475_36.025</t>
        </is>
      </c>
      <c r="B3" t="n">
        <v>10</v>
      </c>
    </row>
    <row r="4">
      <c r="A4" t="inlineStr">
        <is>
          <t>13.475_36.075</t>
        </is>
      </c>
      <c r="B4" t="n">
        <v>10</v>
      </c>
    </row>
    <row r="5">
      <c r="A5" t="inlineStr">
        <is>
          <t>13.425_35.825</t>
        </is>
      </c>
      <c r="B5" t="n">
        <v>10</v>
      </c>
    </row>
    <row r="6">
      <c r="A6" t="inlineStr">
        <is>
          <t>13.425_35.875</t>
        </is>
      </c>
      <c r="B6" t="n">
        <v>10</v>
      </c>
    </row>
    <row r="7">
      <c r="A7" t="inlineStr">
        <is>
          <t>13.425_35.925</t>
        </is>
      </c>
      <c r="B7" t="n">
        <v>10</v>
      </c>
    </row>
    <row r="8">
      <c r="A8" t="inlineStr">
        <is>
          <t>13.425_35.975</t>
        </is>
      </c>
      <c r="B8" t="n">
        <v>10</v>
      </c>
    </row>
    <row r="9">
      <c r="A9" t="inlineStr">
        <is>
          <t>13.425_36.025</t>
        </is>
      </c>
      <c r="B9" t="n">
        <v>10</v>
      </c>
    </row>
    <row r="10">
      <c r="A10" t="inlineStr">
        <is>
          <t>13.425_36.075</t>
        </is>
      </c>
      <c r="B10" t="n">
        <v>10</v>
      </c>
    </row>
    <row r="11">
      <c r="A11" t="inlineStr">
        <is>
          <t>13.375_35.725</t>
        </is>
      </c>
      <c r="B11" t="n">
        <v>10</v>
      </c>
    </row>
    <row r="12">
      <c r="A12" t="inlineStr">
        <is>
          <t>13.375_35.775</t>
        </is>
      </c>
      <c r="B12" t="n">
        <v>10</v>
      </c>
    </row>
    <row r="13">
      <c r="A13" t="inlineStr">
        <is>
          <t>13.375_35.825</t>
        </is>
      </c>
      <c r="B13" t="n">
        <v>10</v>
      </c>
    </row>
    <row r="14">
      <c r="A14" t="inlineStr">
        <is>
          <t>13.375_35.875</t>
        </is>
      </c>
      <c r="B14" t="n">
        <v>10</v>
      </c>
    </row>
    <row r="15">
      <c r="A15" t="inlineStr">
        <is>
          <t>13.375_35.925</t>
        </is>
      </c>
      <c r="B15" t="n">
        <v>10</v>
      </c>
    </row>
    <row r="16">
      <c r="A16" t="inlineStr">
        <is>
          <t>13.375_35.975</t>
        </is>
      </c>
      <c r="B16" t="n">
        <v>10</v>
      </c>
    </row>
    <row r="17">
      <c r="A17" t="inlineStr">
        <is>
          <t>13.375_36.025</t>
        </is>
      </c>
      <c r="B17" t="n">
        <v>10</v>
      </c>
    </row>
    <row r="18">
      <c r="A18" t="inlineStr">
        <is>
          <t>13.375_36.075</t>
        </is>
      </c>
      <c r="B18" t="n">
        <v>10</v>
      </c>
    </row>
    <row r="19">
      <c r="A19" t="inlineStr">
        <is>
          <t>13.375_36.125</t>
        </is>
      </c>
      <c r="B19" t="n">
        <v>10</v>
      </c>
    </row>
    <row r="20">
      <c r="A20" t="inlineStr">
        <is>
          <t>13.325_35.725</t>
        </is>
      </c>
      <c r="B20" t="n">
        <v>10</v>
      </c>
    </row>
    <row r="21">
      <c r="A21" t="inlineStr">
        <is>
          <t>13.325_35.775</t>
        </is>
      </c>
      <c r="B21" t="n">
        <v>10</v>
      </c>
    </row>
    <row r="22">
      <c r="A22" t="inlineStr">
        <is>
          <t>13.325_35.825</t>
        </is>
      </c>
      <c r="B22" t="n">
        <v>10</v>
      </c>
    </row>
    <row r="23">
      <c r="A23" t="inlineStr">
        <is>
          <t>13.325_35.875</t>
        </is>
      </c>
      <c r="B23" t="n">
        <v>10</v>
      </c>
    </row>
    <row r="24">
      <c r="A24" t="inlineStr">
        <is>
          <t>13.325_35.925</t>
        </is>
      </c>
      <c r="B24" t="n">
        <v>10</v>
      </c>
    </row>
    <row r="25">
      <c r="A25" t="inlineStr">
        <is>
          <t>13.325_35.975</t>
        </is>
      </c>
      <c r="B25" t="n">
        <v>10</v>
      </c>
    </row>
    <row r="26">
      <c r="A26" t="inlineStr">
        <is>
          <t>13.325_36.025</t>
        </is>
      </c>
      <c r="B26" t="n">
        <v>10</v>
      </c>
    </row>
    <row r="27">
      <c r="A27" t="inlineStr">
        <is>
          <t>13.325_36.075</t>
        </is>
      </c>
      <c r="B27" t="n">
        <v>10</v>
      </c>
    </row>
    <row r="28">
      <c r="A28" t="inlineStr">
        <is>
          <t>13.325_36.125</t>
        </is>
      </c>
      <c r="B28" t="n">
        <v>10</v>
      </c>
    </row>
    <row r="29">
      <c r="A29" t="inlineStr">
        <is>
          <t>13.275_35.725</t>
        </is>
      </c>
      <c r="B29" t="n">
        <v>10</v>
      </c>
    </row>
    <row r="30">
      <c r="A30" t="inlineStr">
        <is>
          <t>13.275_35.775</t>
        </is>
      </c>
      <c r="B30" t="n">
        <v>10</v>
      </c>
    </row>
    <row r="31">
      <c r="A31" t="inlineStr">
        <is>
          <t>13.275_35.825</t>
        </is>
      </c>
      <c r="B31" t="n">
        <v>10</v>
      </c>
    </row>
    <row r="32">
      <c r="A32" t="inlineStr">
        <is>
          <t>13.275_35.875</t>
        </is>
      </c>
      <c r="B32" t="n">
        <v>10</v>
      </c>
    </row>
    <row r="33">
      <c r="A33" t="inlineStr">
        <is>
          <t>13.275_35.925</t>
        </is>
      </c>
      <c r="B33" t="n">
        <v>10</v>
      </c>
    </row>
    <row r="34">
      <c r="A34" t="inlineStr">
        <is>
          <t>13.275_35.975</t>
        </is>
      </c>
      <c r="B34" t="n">
        <v>10</v>
      </c>
    </row>
    <row r="35">
      <c r="A35" t="inlineStr">
        <is>
          <t>13.275_36.025</t>
        </is>
      </c>
      <c r="B35" t="n">
        <v>10</v>
      </c>
    </row>
    <row r="36">
      <c r="A36" t="inlineStr">
        <is>
          <t>13.275_36.075</t>
        </is>
      </c>
      <c r="B36" t="n">
        <v>10</v>
      </c>
    </row>
    <row r="37">
      <c r="A37" t="inlineStr">
        <is>
          <t>13.275_36.125</t>
        </is>
      </c>
      <c r="B37" t="n">
        <v>10</v>
      </c>
    </row>
    <row r="38">
      <c r="A38" t="inlineStr">
        <is>
          <t>13.275_36.175</t>
        </is>
      </c>
      <c r="B38" t="n">
        <v>10</v>
      </c>
    </row>
    <row r="39">
      <c r="A39" t="inlineStr">
        <is>
          <t>13.225_35.775</t>
        </is>
      </c>
      <c r="B39" t="n">
        <v>10</v>
      </c>
    </row>
    <row r="40">
      <c r="A40" t="inlineStr">
        <is>
          <t>13.225_35.825</t>
        </is>
      </c>
      <c r="B40" t="n">
        <v>10</v>
      </c>
    </row>
    <row r="41">
      <c r="A41" t="inlineStr">
        <is>
          <t>13.225_35.875</t>
        </is>
      </c>
      <c r="B41" t="n">
        <v>10</v>
      </c>
    </row>
    <row r="42">
      <c r="A42" t="inlineStr">
        <is>
          <t>13.225_35.925</t>
        </is>
      </c>
      <c r="B42" t="n">
        <v>10</v>
      </c>
    </row>
    <row r="43">
      <c r="A43" t="inlineStr">
        <is>
          <t>13.225_35.975</t>
        </is>
      </c>
      <c r="B43" t="n">
        <v>10</v>
      </c>
    </row>
    <row r="44">
      <c r="A44" t="inlineStr">
        <is>
          <t>13.225_36.025</t>
        </is>
      </c>
      <c r="B44" t="n">
        <v>10</v>
      </c>
    </row>
    <row r="45">
      <c r="A45" t="inlineStr">
        <is>
          <t>13.225_36.075</t>
        </is>
      </c>
      <c r="B45" t="n">
        <v>10</v>
      </c>
    </row>
    <row r="46">
      <c r="A46" t="inlineStr">
        <is>
          <t>13.175_35.775</t>
        </is>
      </c>
      <c r="B46" t="n">
        <v>10</v>
      </c>
    </row>
    <row r="47">
      <c r="A47" t="inlineStr">
        <is>
          <t>13.175_35.825</t>
        </is>
      </c>
      <c r="B47" t="n">
        <v>10</v>
      </c>
    </row>
    <row r="48">
      <c r="A48" t="inlineStr">
        <is>
          <t>13.175_35.875</t>
        </is>
      </c>
      <c r="B48" t="n">
        <v>10</v>
      </c>
    </row>
    <row r="49">
      <c r="A49" t="inlineStr">
        <is>
          <t>13.175_35.925</t>
        </is>
      </c>
      <c r="B49" t="n">
        <v>10</v>
      </c>
    </row>
    <row r="50">
      <c r="A50" t="inlineStr">
        <is>
          <t>13.175_35.975</t>
        </is>
      </c>
      <c r="B50" t="n">
        <v>10</v>
      </c>
    </row>
    <row r="51">
      <c r="A51" t="inlineStr">
        <is>
          <t>13.125_35.775</t>
        </is>
      </c>
      <c r="B51" t="n">
        <v>10</v>
      </c>
    </row>
    <row r="52">
      <c r="A52" t="inlineStr">
        <is>
          <t>13.125_35.825</t>
        </is>
      </c>
      <c r="B52" t="n">
        <v>10</v>
      </c>
    </row>
    <row r="53">
      <c r="A53" t="inlineStr">
        <is>
          <t>13.125_35.875</t>
        </is>
      </c>
      <c r="B5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5" customWidth="1" min="4" max="4"/>
    <col width="41" customWidth="1" min="5" max="5"/>
    <col width="29" customWidth="1" min="6" max="6"/>
    <col width="30" customWidth="1" min="7" max="7"/>
  </cols>
  <sheetData>
    <row r="1">
      <c r="A1" s="1" t="inlineStr">
        <is>
          <t>farmer_id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grid_key</t>
        </is>
      </c>
      <c r="E1" s="1" t="inlineStr">
        <is>
          <t>rainfall_score_vlookup</t>
        </is>
      </c>
      <c r="F1" s="1" t="inlineStr">
        <is>
          <t>expected_score_python_check</t>
        </is>
      </c>
      <c r="G1" s="1" t="inlineStr">
        <is>
          <t>check_vlookup_matches_python</t>
        </is>
      </c>
    </row>
    <row r="2">
      <c r="A2" t="inlineStr">
        <is>
          <t>F001</t>
        </is>
      </c>
      <c r="B2" s="2" t="n">
        <v>13.47</v>
      </c>
      <c r="C2" s="2" t="n">
        <v>35.98</v>
      </c>
      <c r="D2" t="inlineStr">
        <is>
          <t>13.475_35.975</t>
        </is>
      </c>
      <c r="E2" s="3">
        <f>VLOOKUP(D2,'score_lookup'!A:B,2,FALSE)</f>
        <v/>
      </c>
      <c r="F2" s="3" t="n">
        <v>10</v>
      </c>
      <c r="G2">
        <f>E2=F2</f>
        <v/>
      </c>
    </row>
    <row r="3">
      <c r="A3" t="inlineStr">
        <is>
          <t>F002</t>
        </is>
      </c>
      <c r="B3" s="2" t="n">
        <v>13.462</v>
      </c>
      <c r="C3" s="2" t="n">
        <v>36.031</v>
      </c>
      <c r="D3" t="inlineStr">
        <is>
          <t>13.475_36.025</t>
        </is>
      </c>
      <c r="E3" s="3">
        <f>VLOOKUP(D3,'score_lookup'!A:B,2,FALSE)</f>
        <v/>
      </c>
      <c r="F3" s="3" t="n">
        <v>10</v>
      </c>
      <c r="G3">
        <f>E3=F3</f>
        <v/>
      </c>
    </row>
    <row r="4">
      <c r="A4" t="inlineStr">
        <is>
          <t>F003</t>
        </is>
      </c>
      <c r="B4" s="2" t="n">
        <v>13.431</v>
      </c>
      <c r="C4" s="2" t="n">
        <v>35.829</v>
      </c>
      <c r="D4" t="inlineStr">
        <is>
          <t>13.425_35.825</t>
        </is>
      </c>
      <c r="E4" s="3">
        <f>VLOOKUP(D4,'score_lookup'!A:B,2,FALSE)</f>
        <v/>
      </c>
      <c r="F4" s="3" t="n">
        <v>10</v>
      </c>
      <c r="G4">
        <f>E4=F4</f>
        <v/>
      </c>
    </row>
    <row r="5">
      <c r="A5" t="inlineStr">
        <is>
          <t>F004</t>
        </is>
      </c>
      <c r="B5" s="2" t="n">
        <v>13.444</v>
      </c>
      <c r="C5" s="2" t="n">
        <v>35.884</v>
      </c>
      <c r="D5" t="inlineStr">
        <is>
          <t>13.425_35.875</t>
        </is>
      </c>
      <c r="E5" s="3">
        <f>VLOOKUP(D5,'score_lookup'!A:B,2,FALSE)</f>
        <v/>
      </c>
      <c r="F5" s="3" t="n">
        <v>10</v>
      </c>
      <c r="G5">
        <f>E5=F5</f>
        <v/>
      </c>
    </row>
    <row r="6">
      <c r="A6" t="inlineStr">
        <is>
          <t>F005</t>
        </is>
      </c>
      <c r="B6" s="2" t="n">
        <v>13.418</v>
      </c>
      <c r="C6" s="2" t="n">
        <v>35.933</v>
      </c>
      <c r="D6" t="inlineStr">
        <is>
          <t>13.425_35.925</t>
        </is>
      </c>
      <c r="E6" s="3">
        <f>VLOOKUP(D6,'score_lookup'!A:B,2,FALSE)</f>
        <v/>
      </c>
      <c r="F6" s="3" t="n">
        <v>10</v>
      </c>
      <c r="G6">
        <f>E6=F6</f>
        <v/>
      </c>
    </row>
    <row r="7">
      <c r="A7" t="inlineStr">
        <is>
          <t>F006</t>
        </is>
      </c>
      <c r="B7" s="2" t="n">
        <v>13</v>
      </c>
      <c r="C7" s="2" t="n">
        <v>35</v>
      </c>
      <c r="D7" t="inlineStr">
        <is>
          <t>13.025_35.025</t>
        </is>
      </c>
      <c r="E7" s="3">
        <f>VLOOKUP(D7,'score_lookup'!A:B,2,FALSE)</f>
        <v/>
      </c>
      <c r="F7" s="3" t="inlineStr"/>
      <c r="G7">
        <f>E7=F7</f>
        <v/>
      </c>
    </row>
    <row r="10">
      <c r="A10" s="4" t="inlineStr">
        <is>
          <t>How the formulas work</t>
        </is>
      </c>
    </row>
    <row r="11">
      <c r="A11" t="inlineStr">
        <is>
          <t>Column D contains the CHIRPS 0.05 degree grid_key for each sample farmer coordinate.</t>
        </is>
      </c>
    </row>
    <row r="12">
      <c r="A12" t="inlineStr">
        <is>
          <t>Column E contains the working VLOOKUP formula that finds that grid_key in score_lookup and returns score_1_10.</t>
        </is>
      </c>
    </row>
    <row r="13">
      <c r="A13" t="inlineStr">
        <is>
          <t>Formula used in E2:</t>
        </is>
      </c>
      <c r="B13" t="inlineStr">
        <is>
          <t xml:space="preserve"> =VLOOKUP(D2,'score_lookup'!A:B,2,FALSE)</t>
        </is>
      </c>
    </row>
    <row r="14">
      <c r="A14" t="inlineStr">
        <is>
          <t>Rows above use the configured farmer GPS file; for new farmer data, calculate grid_key from lat/lon using the same 0.05 degree CHIRPS grid rule, then copy the VLOOKUP formula down.</t>
        </is>
      </c>
    </row>
    <row r="15">
      <c r="A15" t="inlineStr">
        <is>
          <t>Source detailed lookup CSV: Mahala_CHIRPS_grid_lookup_2014_2024_11years.csv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Data source</t>
        </is>
      </c>
      <c r="B2" t="inlineStr">
        <is>
          <t>CHIRPS v2.0 monthly precipitation</t>
        </is>
      </c>
    </row>
    <row r="3">
      <c r="A3" t="inlineStr">
        <is>
          <t>Source website</t>
        </is>
      </c>
      <c r="B3" t="inlineStr">
        <is>
          <t>data.chc.ucsb.edu</t>
        </is>
      </c>
    </row>
    <row r="4">
      <c r="A4" t="inlineStr">
        <is>
          <t>Area</t>
        </is>
      </c>
      <c r="B4" t="inlineStr">
        <is>
          <t>Gedaref bounding box, approx. lat 13.5-14.5 N, lon 35.0-36.5 E</t>
        </is>
      </c>
    </row>
    <row r="5">
      <c r="A5" t="inlineStr">
        <is>
          <t>Grid resolution</t>
        </is>
      </c>
      <c r="B5" t="inlineStr">
        <is>
          <t>0.05 degrees</t>
        </is>
      </c>
    </row>
    <row r="6">
      <c r="A6" t="inlineStr">
        <is>
          <t>Season</t>
        </is>
      </c>
      <c r="B6" t="inlineStr">
        <is>
          <t>June-September</t>
        </is>
      </c>
    </row>
    <row r="7">
      <c r="A7" t="inlineStr">
        <is>
          <t>Data period</t>
        </is>
      </c>
      <c r="B7" t="inlineStr">
        <is>
          <t>2014-2024</t>
        </is>
      </c>
    </row>
    <row r="8">
      <c r="A8" t="inlineStr">
        <is>
          <t>Period note</t>
        </is>
      </c>
      <c r="B8" t="inlineStr">
        <is>
          <t>Client-approved inclusive period; 2014-2024 contains 11 yearly seasons.</t>
        </is>
      </c>
    </row>
    <row r="9">
      <c r="A9" t="inlineStr">
        <is>
          <t>Download/processing date</t>
        </is>
      </c>
      <c r="B9" t="inlineStr">
        <is>
          <t>2026-06-21</t>
        </is>
      </c>
    </row>
    <row r="10">
      <c r="A10" t="inlineStr">
        <is>
          <t>Scoring scale</t>
        </is>
      </c>
      <c r="B10" t="inlineStr">
        <is>
          <t>&gt;=350 mm = 10; 250-349 mm = 7; 150-249 mm = 4; &lt;150 mm = 1</t>
        </is>
      </c>
    </row>
    <row r="11">
      <c r="A11" t="inlineStr">
        <is>
          <t>Lookup table tab</t>
        </is>
      </c>
      <c r="B11" s="5" t="inlineStr">
        <is>
          <t>score_lookup</t>
        </is>
      </c>
    </row>
    <row r="12">
      <c r="A12" t="inlineStr">
        <is>
          <t>Demo tab</t>
        </is>
      </c>
      <c r="B12" t="inlineStr">
        <is>
          <t>farmers_demo</t>
        </is>
      </c>
    </row>
    <row r="13">
      <c r="A13" t="inlineStr">
        <is>
          <t>Source detailed lookup CSV</t>
        </is>
      </c>
      <c r="B13" t="inlineStr">
        <is>
          <t>Mahala_CHIRPS_grid_lookup_2014_2024_11years.csv</t>
        </is>
      </c>
    </row>
    <row r="14">
      <c r="A14" t="inlineStr">
        <is>
          <t>Source farmer CSV</t>
        </is>
      </c>
      <c r="B14" t="inlineStr">
        <is>
          <t>/home/runner/work/Mahsooli_gis/Mahsooli_gis/docs/sample_farmers.csv</t>
        </is>
      </c>
    </row>
    <row r="15">
      <c r="A15" t="inlineStr">
        <is>
          <t>Generated workbook name</t>
        </is>
      </c>
      <c r="B15" t="inlineStr">
        <is>
          <t>Mahsooli_CHIRPS_v2_RainfallLookup_Gedaref_2014-2024_processed_2026-06-21.xlsx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2026-06-21T06:40:09Z</dcterms:created>
  <dcterms:modified xsi:type="dcterms:W3CDTF">2026-06-21T06:40:09Z</dcterms:modified>
</cp:coreProperties>
</file>